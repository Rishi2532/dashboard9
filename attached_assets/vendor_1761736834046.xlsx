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626\Downloads\"/>
    </mc:Choice>
  </mc:AlternateContent>
  <xr:revisionPtr revIDLastSave="0" documentId="8_{EEAAAE34-B4C7-49CD-93AA-822B0C32D7D7}" xr6:coauthVersionLast="47" xr6:coauthVersionMax="47" xr10:uidLastSave="{00000000-0000-0000-0000-000000000000}"/>
  <bookViews>
    <workbookView xWindow="-108" yWindow="-108" windowWidth="23256" windowHeight="12456" activeTab="2" xr2:uid="{C8E0FFA2-6A07-48E4-9A75-A1F9B3E5295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7" i="1" l="1"/>
  <c r="AL7" i="1"/>
  <c r="AE7" i="1"/>
  <c r="Z7" i="1"/>
  <c r="U7" i="1"/>
  <c r="P7" i="1"/>
  <c r="AV6" i="1"/>
  <c r="AL6" i="1"/>
  <c r="AE6" i="1"/>
  <c r="U6" i="1"/>
  <c r="R6" i="1"/>
  <c r="P6" i="1"/>
  <c r="AV5" i="1"/>
  <c r="AL5" i="1"/>
  <c r="AE5" i="1"/>
  <c r="Z5" i="1"/>
  <c r="W5" i="1"/>
  <c r="U5" i="1"/>
  <c r="R5" i="1"/>
  <c r="P5" i="1"/>
  <c r="AV4" i="1"/>
  <c r="AL4" i="1"/>
  <c r="AG4" i="1"/>
  <c r="AE4" i="1"/>
  <c r="AB4" i="1"/>
  <c r="Z4" i="1"/>
  <c r="W4" i="1"/>
  <c r="U4" i="1"/>
  <c r="R4" i="1"/>
  <c r="P4" i="1"/>
  <c r="AV3" i="1"/>
  <c r="AL3" i="1"/>
  <c r="AG3" i="1"/>
  <c r="AE3" i="1"/>
  <c r="AB3" i="1"/>
  <c r="Z3" i="1"/>
  <c r="W3" i="1"/>
  <c r="U3" i="1"/>
  <c r="R3" i="1"/>
  <c r="P3" i="1"/>
  <c r="AV2" i="1"/>
  <c r="AL2" i="1"/>
  <c r="AG2" i="1"/>
  <c r="AE2" i="1"/>
  <c r="AB2" i="1"/>
  <c r="Z2" i="1"/>
  <c r="W2" i="1"/>
  <c r="U2" i="1"/>
  <c r="R2" i="1"/>
  <c r="P2" i="1"/>
</calcChain>
</file>

<file path=xl/sharedStrings.xml><?xml version="1.0" encoding="utf-8"?>
<sst xmlns="http://schemas.openxmlformats.org/spreadsheetml/2006/main" count="161" uniqueCount="89">
  <si>
    <t>Sr. No</t>
  </si>
  <si>
    <t>JV Name</t>
  </si>
  <si>
    <t xml:space="preserve">Phase </t>
  </si>
  <si>
    <t>Scheme No.</t>
  </si>
  <si>
    <t>District</t>
  </si>
  <si>
    <t>Taluka</t>
  </si>
  <si>
    <t>Grampanchayat</t>
  </si>
  <si>
    <t>Village / Habitation</t>
  </si>
  <si>
    <t>Proposed ECU Capacity (gms/hr)</t>
  </si>
  <si>
    <t>No. of EC Unit</t>
  </si>
  <si>
    <t xml:space="preserve">Nos. of Proposed Switch Room </t>
  </si>
  <si>
    <t>Work Order No</t>
  </si>
  <si>
    <t>Cost of EC Unit as per WO</t>
  </si>
  <si>
    <t>Cost of EC Room as per WO</t>
  </si>
  <si>
    <t>Cost of Comp Maint as per WO</t>
  </si>
  <si>
    <t>Work Order Cost
(EC unit+EC Room+Comp Maint)
Without GST</t>
  </si>
  <si>
    <t>Date of Work Order</t>
  </si>
  <si>
    <t>Work Order End Date</t>
  </si>
  <si>
    <t>WO (5%)  Billing Date</t>
  </si>
  <si>
    <t>5% Scan Uploading</t>
  </si>
  <si>
    <t>WO (5%)  Amount</t>
  </si>
  <si>
    <t>Date of Supply</t>
  </si>
  <si>
    <t>Nos. of EC Unit Supplied</t>
  </si>
  <si>
    <t>Supply (60%)
Billing Date</t>
  </si>
  <si>
    <t>60% Scan Uploading</t>
  </si>
  <si>
    <t>Supply (60%)
Amount</t>
  </si>
  <si>
    <t>Date of Installation</t>
  </si>
  <si>
    <t>Nos. of EC Unit Installed</t>
  </si>
  <si>
    <t>Installation (25%)
Billing Date</t>
  </si>
  <si>
    <t>25% Scan Uploading</t>
  </si>
  <si>
    <t>Installation (25%)
Amount</t>
  </si>
  <si>
    <t>Date of Commisioning</t>
  </si>
  <si>
    <t>Nos. of EC Unit Commisioned</t>
  </si>
  <si>
    <t>Date of TPI Inspection</t>
  </si>
  <si>
    <t>Test Report Received Date</t>
  </si>
  <si>
    <t>Commisioning (10%)
Billing Date</t>
  </si>
  <si>
    <t>10% Scan Uploading</t>
  </si>
  <si>
    <t>Commisioning (10%)
Amount</t>
  </si>
  <si>
    <t>EC Room (Yes/NO)</t>
  </si>
  <si>
    <t>Date of EC Room Completion</t>
  </si>
  <si>
    <t>EC Room Completion Status</t>
  </si>
  <si>
    <t>EC Room Bill Date</t>
  </si>
  <si>
    <t>Remark with Date</t>
  </si>
  <si>
    <t>EC Room Constructed (Yes/No)</t>
  </si>
  <si>
    <t>NOC Received</t>
  </si>
  <si>
    <t>Power Supply issue</t>
  </si>
  <si>
    <t>EC Room Cancelled</t>
  </si>
  <si>
    <t xml:space="preserve">Operation &amp; Maintenance  commenced  date </t>
  </si>
  <si>
    <t>SMC JV</t>
  </si>
  <si>
    <t>I</t>
  </si>
  <si>
    <t>Kolhapur</t>
  </si>
  <si>
    <t>Ajara</t>
  </si>
  <si>
    <t>Gajargaon</t>
  </si>
  <si>
    <t>SWSM / JJM/ EC/CR- 168/ W.O./ Kolhapur /343/2023</t>
  </si>
  <si>
    <t>18-04-2023</t>
  </si>
  <si>
    <t>Uploaded</t>
  </si>
  <si>
    <t>21-12-2023</t>
  </si>
  <si>
    <t>No</t>
  </si>
  <si>
    <t>NA</t>
  </si>
  <si>
    <t>Yes</t>
  </si>
  <si>
    <t>Maligre</t>
  </si>
  <si>
    <t>Sarambalwadi</t>
  </si>
  <si>
    <t>14-07-2023</t>
  </si>
  <si>
    <t>Karveer</t>
  </si>
  <si>
    <t>Nitavade</t>
  </si>
  <si>
    <t>Patekarwadi</t>
  </si>
  <si>
    <t>Shirol</t>
  </si>
  <si>
    <t>Kanwad</t>
  </si>
  <si>
    <t>WO Not Received/Rejected by department as per letter</t>
  </si>
  <si>
    <t>Region</t>
  </si>
  <si>
    <t xml:space="preserve">Employe name </t>
  </si>
  <si>
    <t>Email</t>
  </si>
  <si>
    <t xml:space="preserve">Phone </t>
  </si>
  <si>
    <t>Amravati</t>
  </si>
  <si>
    <t>Rishikesh Salunke</t>
  </si>
  <si>
    <t>salunkerishikesh@gmail.com</t>
  </si>
  <si>
    <t xml:space="preserve">Nashik </t>
  </si>
  <si>
    <t>Chhatrapati Sambhajinagar</t>
  </si>
  <si>
    <t>Aniruddha Dhumale</t>
  </si>
  <si>
    <t>aniruddhadhumale@gmail.com</t>
  </si>
  <si>
    <t xml:space="preserve">Nagpur </t>
  </si>
  <si>
    <t>Konkan</t>
  </si>
  <si>
    <t>Agency</t>
  </si>
  <si>
    <t>M/s Ceinsys</t>
  </si>
  <si>
    <t>M/s Rite water</t>
  </si>
  <si>
    <t>M/s Indo</t>
  </si>
  <si>
    <t>rushikeshsalunkhe33@gmail.com</t>
  </si>
  <si>
    <t>Pune</t>
  </si>
  <si>
    <t>M/s Chetas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</si>
</sst>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-mm\-yyyy;@"/>
    <numFmt numFmtId="165" formatCode="[$-F800]dddd\,\ mmmm\ dd\,\ yyyy"/>
  </numFmts>
  <fonts count="6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65" fontId="4" fillId="6" borderId="1" xfId="0" applyNumberFormat="1" applyFont="1" applyFill="1" applyBorder="1"/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niruddhadhumale@gmail.com" TargetMode="External"/><Relationship Id="rId2" Type="http://schemas.openxmlformats.org/officeDocument/2006/relationships/hyperlink" Target="mailto:salunkerishikesh@gmail.com" TargetMode="External"/><Relationship Id="rId1" Type="http://schemas.openxmlformats.org/officeDocument/2006/relationships/hyperlink" Target="mailto:salunkerishikesh@gmail.com" TargetMode="External"/><Relationship Id="rId4" Type="http://schemas.openxmlformats.org/officeDocument/2006/relationships/hyperlink" Target="mailto:aniruddhadhuma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BEFD-31AE-4B9A-94D4-831BDA7346D6}">
  <dimension ref="A1:AV7"/>
  <sheetViews>
    <sheetView workbookViewId="0">
      <selection activeCell="E1" sqref="E1:I1"/>
    </sheetView>
  </sheetViews>
  <sheetFormatPr defaultRowHeight="14.4" x14ac:dyDescent="0.3"/>
  <cols>
    <col min="7" max="7" width="13.44140625" bestFit="1" customWidth="1"/>
    <col min="8" max="8" width="15.77734375" bestFit="1" customWidth="1"/>
  </cols>
  <sheetData>
    <row r="1" spans="1:48" s="7" customFormat="1" ht="124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5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5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6" t="s">
        <v>47</v>
      </c>
    </row>
    <row r="2" spans="1:48" s="17" customFormat="1" ht="27" customHeight="1" x14ac:dyDescent="0.3">
      <c r="A2" s="8">
        <v>1</v>
      </c>
      <c r="B2" s="8" t="s">
        <v>48</v>
      </c>
      <c r="C2" s="8" t="s">
        <v>49</v>
      </c>
      <c r="D2" s="8">
        <v>6999</v>
      </c>
      <c r="E2" s="8" t="s">
        <v>50</v>
      </c>
      <c r="F2" s="8" t="s">
        <v>51</v>
      </c>
      <c r="G2" s="8" t="s">
        <v>52</v>
      </c>
      <c r="H2" s="8" t="s">
        <v>52</v>
      </c>
      <c r="I2" s="8">
        <v>50</v>
      </c>
      <c r="J2" s="8">
        <v>1</v>
      </c>
      <c r="K2" s="8">
        <v>0</v>
      </c>
      <c r="L2" s="9" t="s">
        <v>53</v>
      </c>
      <c r="M2" s="10">
        <v>310154.16869999998</v>
      </c>
      <c r="N2" s="10">
        <v>0</v>
      </c>
      <c r="O2" s="10">
        <v>93046.399999999994</v>
      </c>
      <c r="P2" s="10">
        <f>M2+N2+O2</f>
        <v>403200.56869999995</v>
      </c>
      <c r="Q2" s="11">
        <v>44993</v>
      </c>
      <c r="R2" s="12">
        <f>Q2+242</f>
        <v>45235</v>
      </c>
      <c r="S2" s="12" t="s">
        <v>54</v>
      </c>
      <c r="T2" s="8" t="s">
        <v>55</v>
      </c>
      <c r="U2" s="13">
        <f>M2*5%</f>
        <v>15507.708435</v>
      </c>
      <c r="V2" s="14">
        <v>45083</v>
      </c>
      <c r="W2" s="13">
        <f>J2</f>
        <v>1</v>
      </c>
      <c r="X2" s="14" t="s">
        <v>56</v>
      </c>
      <c r="Y2" s="13" t="s">
        <v>55</v>
      </c>
      <c r="Z2" s="13">
        <f>M2*60%</f>
        <v>186092.50121999998</v>
      </c>
      <c r="AA2" s="14">
        <v>45170</v>
      </c>
      <c r="AB2" s="13">
        <f>J2</f>
        <v>1</v>
      </c>
      <c r="AC2" s="14">
        <v>45451</v>
      </c>
      <c r="AD2" s="13" t="s">
        <v>55</v>
      </c>
      <c r="AE2" s="13">
        <f>M2*25%</f>
        <v>77538.542174999995</v>
      </c>
      <c r="AF2" s="14">
        <v>45170</v>
      </c>
      <c r="AG2" s="13">
        <f>J2</f>
        <v>1</v>
      </c>
      <c r="AH2" s="13"/>
      <c r="AI2" s="14">
        <v>45261</v>
      </c>
      <c r="AJ2" s="13"/>
      <c r="AK2" s="13"/>
      <c r="AL2" s="13">
        <f>M2*10%</f>
        <v>31015.416870000001</v>
      </c>
      <c r="AM2" s="8" t="s">
        <v>57</v>
      </c>
      <c r="AN2" s="15"/>
      <c r="AO2" s="15" t="s">
        <v>58</v>
      </c>
      <c r="AP2" s="15"/>
      <c r="AQ2" s="8"/>
      <c r="AR2" s="8"/>
      <c r="AS2" s="8" t="s">
        <v>59</v>
      </c>
      <c r="AT2" s="8"/>
      <c r="AU2" s="8"/>
      <c r="AV2" s="16">
        <f>AA2+1</f>
        <v>45171</v>
      </c>
    </row>
    <row r="3" spans="1:48" s="17" customFormat="1" ht="15" customHeight="1" x14ac:dyDescent="0.3">
      <c r="A3" s="8">
        <v>2</v>
      </c>
      <c r="B3" s="8" t="s">
        <v>48</v>
      </c>
      <c r="C3" s="8" t="s">
        <v>49</v>
      </c>
      <c r="D3" s="8">
        <v>7018</v>
      </c>
      <c r="E3" s="8" t="s">
        <v>50</v>
      </c>
      <c r="F3" s="8" t="s">
        <v>51</v>
      </c>
      <c r="G3" s="8" t="s">
        <v>60</v>
      </c>
      <c r="H3" s="8" t="s">
        <v>60</v>
      </c>
      <c r="I3" s="8">
        <v>50</v>
      </c>
      <c r="J3" s="8">
        <v>1</v>
      </c>
      <c r="K3" s="8">
        <v>0</v>
      </c>
      <c r="L3" s="9" t="s">
        <v>53</v>
      </c>
      <c r="M3" s="10">
        <v>310154.16869999998</v>
      </c>
      <c r="N3" s="10">
        <v>0</v>
      </c>
      <c r="O3" s="10">
        <v>93046.399999999994</v>
      </c>
      <c r="P3" s="10">
        <f t="shared" ref="P3:P7" si="0">M3+N3+O3</f>
        <v>403200.56869999995</v>
      </c>
      <c r="Q3" s="11">
        <v>44993</v>
      </c>
      <c r="R3" s="12">
        <f t="shared" ref="R3:R7" si="1">Q3+242</f>
        <v>45235</v>
      </c>
      <c r="S3" s="12" t="s">
        <v>54</v>
      </c>
      <c r="T3" s="8" t="s">
        <v>55</v>
      </c>
      <c r="U3" s="13">
        <f t="shared" ref="U3:U7" si="2">M3*5%</f>
        <v>15507.708435</v>
      </c>
      <c r="V3" s="14">
        <v>45083</v>
      </c>
      <c r="W3" s="13">
        <f t="shared" ref="W3:W5" si="3">J3</f>
        <v>1</v>
      </c>
      <c r="X3" s="14" t="s">
        <v>56</v>
      </c>
      <c r="Y3" s="13" t="s">
        <v>55</v>
      </c>
      <c r="Z3" s="13">
        <f t="shared" ref="Z3:Z7" si="4">M3*60%</f>
        <v>186092.50121999998</v>
      </c>
      <c r="AA3" s="14">
        <v>45170</v>
      </c>
      <c r="AB3" s="13">
        <f t="shared" ref="AB3:AB4" si="5">J3</f>
        <v>1</v>
      </c>
      <c r="AC3" s="14">
        <v>45451</v>
      </c>
      <c r="AD3" s="13" t="s">
        <v>55</v>
      </c>
      <c r="AE3" s="13">
        <f t="shared" ref="AE3:AE7" si="6">M3*25%</f>
        <v>77538.542174999995</v>
      </c>
      <c r="AF3" s="14">
        <v>45170</v>
      </c>
      <c r="AG3" s="13">
        <f t="shared" ref="AG3:AG4" si="7">J3</f>
        <v>1</v>
      </c>
      <c r="AH3" s="13"/>
      <c r="AI3" s="14">
        <v>45261</v>
      </c>
      <c r="AJ3" s="13"/>
      <c r="AK3" s="13"/>
      <c r="AL3" s="13">
        <f t="shared" ref="AL3:AL7" si="8">M3*10%</f>
        <v>31015.416870000001</v>
      </c>
      <c r="AM3" s="8" t="s">
        <v>57</v>
      </c>
      <c r="AN3" s="15"/>
      <c r="AO3" s="15" t="s">
        <v>58</v>
      </c>
      <c r="AP3" s="15"/>
      <c r="AQ3" s="8"/>
      <c r="AR3" s="8"/>
      <c r="AS3" s="8" t="s">
        <v>59</v>
      </c>
      <c r="AT3" s="8"/>
      <c r="AU3" s="8"/>
      <c r="AV3" s="16">
        <f t="shared" ref="AV3:AV7" si="9">AA3+1</f>
        <v>45171</v>
      </c>
    </row>
    <row r="4" spans="1:48" s="17" customFormat="1" ht="15" customHeight="1" x14ac:dyDescent="0.3">
      <c r="A4" s="8">
        <v>3</v>
      </c>
      <c r="B4" s="8" t="s">
        <v>48</v>
      </c>
      <c r="C4" s="8" t="s">
        <v>49</v>
      </c>
      <c r="D4" s="8">
        <v>7028</v>
      </c>
      <c r="E4" s="8" t="s">
        <v>50</v>
      </c>
      <c r="F4" s="8" t="s">
        <v>51</v>
      </c>
      <c r="G4" s="8" t="s">
        <v>61</v>
      </c>
      <c r="H4" s="8" t="s">
        <v>61</v>
      </c>
      <c r="I4" s="8">
        <v>25</v>
      </c>
      <c r="J4" s="8">
        <v>1</v>
      </c>
      <c r="K4" s="8">
        <v>0</v>
      </c>
      <c r="L4" s="9" t="s">
        <v>53</v>
      </c>
      <c r="M4" s="10">
        <v>209356.75589999999</v>
      </c>
      <c r="N4" s="10">
        <v>0</v>
      </c>
      <c r="O4" s="10">
        <v>62807</v>
      </c>
      <c r="P4" s="10">
        <f t="shared" si="0"/>
        <v>272163.75589999999</v>
      </c>
      <c r="Q4" s="11">
        <v>44993</v>
      </c>
      <c r="R4" s="12">
        <f t="shared" si="1"/>
        <v>45235</v>
      </c>
      <c r="S4" s="12" t="s">
        <v>54</v>
      </c>
      <c r="T4" s="8" t="s">
        <v>55</v>
      </c>
      <c r="U4" s="13">
        <f t="shared" si="2"/>
        <v>10467.837794999999</v>
      </c>
      <c r="V4" s="14">
        <v>45023</v>
      </c>
      <c r="W4" s="13">
        <f t="shared" si="3"/>
        <v>1</v>
      </c>
      <c r="X4" s="14" t="s">
        <v>62</v>
      </c>
      <c r="Y4" s="13" t="s">
        <v>55</v>
      </c>
      <c r="Z4" s="13">
        <f t="shared" si="4"/>
        <v>125614.05353999999</v>
      </c>
      <c r="AA4" s="14" t="s">
        <v>54</v>
      </c>
      <c r="AB4" s="13">
        <f t="shared" si="5"/>
        <v>1</v>
      </c>
      <c r="AC4" s="14">
        <v>45451</v>
      </c>
      <c r="AD4" s="13" t="s">
        <v>55</v>
      </c>
      <c r="AE4" s="13">
        <f t="shared" si="6"/>
        <v>52339.188974999997</v>
      </c>
      <c r="AF4" s="14" t="s">
        <v>54</v>
      </c>
      <c r="AG4" s="13">
        <f t="shared" si="7"/>
        <v>1</v>
      </c>
      <c r="AH4" s="13"/>
      <c r="AI4" s="14"/>
      <c r="AJ4" s="13"/>
      <c r="AK4" s="13"/>
      <c r="AL4" s="13">
        <f t="shared" si="8"/>
        <v>20935.675589999999</v>
      </c>
      <c r="AM4" s="8" t="s">
        <v>57</v>
      </c>
      <c r="AN4" s="15"/>
      <c r="AO4" s="15" t="s">
        <v>58</v>
      </c>
      <c r="AP4" s="15"/>
      <c r="AQ4" s="8"/>
      <c r="AR4" s="8"/>
      <c r="AS4" s="8" t="s">
        <v>59</v>
      </c>
      <c r="AT4" s="8"/>
      <c r="AU4" s="8"/>
      <c r="AV4" s="16">
        <f t="shared" si="9"/>
        <v>45035</v>
      </c>
    </row>
    <row r="5" spans="1:48" s="17" customFormat="1" ht="15" customHeight="1" x14ac:dyDescent="0.3">
      <c r="A5" s="8">
        <v>4</v>
      </c>
      <c r="B5" s="8" t="s">
        <v>48</v>
      </c>
      <c r="C5" s="8" t="s">
        <v>49</v>
      </c>
      <c r="D5" s="8">
        <v>7220</v>
      </c>
      <c r="E5" s="8" t="s">
        <v>50</v>
      </c>
      <c r="F5" s="8" t="s">
        <v>63</v>
      </c>
      <c r="G5" s="8" t="s">
        <v>64</v>
      </c>
      <c r="H5" s="8" t="s">
        <v>64</v>
      </c>
      <c r="I5" s="8">
        <v>25</v>
      </c>
      <c r="J5" s="8">
        <v>1</v>
      </c>
      <c r="K5" s="8">
        <v>0</v>
      </c>
      <c r="L5" s="9" t="s">
        <v>53</v>
      </c>
      <c r="M5" s="10">
        <v>209356.75589999999</v>
      </c>
      <c r="N5" s="10">
        <v>0</v>
      </c>
      <c r="O5" s="10">
        <v>62807</v>
      </c>
      <c r="P5" s="10">
        <f t="shared" si="0"/>
        <v>272163.75589999999</v>
      </c>
      <c r="Q5" s="11">
        <v>44993</v>
      </c>
      <c r="R5" s="12">
        <f t="shared" si="1"/>
        <v>45235</v>
      </c>
      <c r="S5" s="12" t="s">
        <v>54</v>
      </c>
      <c r="T5" s="8" t="s">
        <v>55</v>
      </c>
      <c r="U5" s="13">
        <f t="shared" si="2"/>
        <v>10467.837794999999</v>
      </c>
      <c r="V5" s="14">
        <v>45023</v>
      </c>
      <c r="W5" s="13">
        <f t="shared" si="3"/>
        <v>1</v>
      </c>
      <c r="X5" s="14" t="s">
        <v>62</v>
      </c>
      <c r="Y5" s="13" t="s">
        <v>55</v>
      </c>
      <c r="Z5" s="13">
        <f t="shared" si="4"/>
        <v>125614.05353999999</v>
      </c>
      <c r="AA5" s="14"/>
      <c r="AB5" s="13"/>
      <c r="AC5" s="18"/>
      <c r="AD5" s="13"/>
      <c r="AE5" s="13">
        <f t="shared" si="6"/>
        <v>52339.188974999997</v>
      </c>
      <c r="AF5" s="13"/>
      <c r="AG5" s="13"/>
      <c r="AH5" s="13"/>
      <c r="AI5" s="14"/>
      <c r="AJ5" s="13"/>
      <c r="AK5" s="13"/>
      <c r="AL5" s="13">
        <f t="shared" si="8"/>
        <v>20935.675589999999</v>
      </c>
      <c r="AM5" s="8" t="s">
        <v>57</v>
      </c>
      <c r="AN5" s="15"/>
      <c r="AO5" s="15" t="s">
        <v>58</v>
      </c>
      <c r="AP5" s="15"/>
      <c r="AQ5" s="8"/>
      <c r="AR5" s="8"/>
      <c r="AS5" s="8"/>
      <c r="AT5" s="8"/>
      <c r="AU5" s="8"/>
      <c r="AV5" s="16">
        <f t="shared" si="9"/>
        <v>1</v>
      </c>
    </row>
    <row r="6" spans="1:48" s="17" customFormat="1" ht="15" customHeight="1" x14ac:dyDescent="0.3">
      <c r="A6" s="8">
        <v>5</v>
      </c>
      <c r="B6" s="8" t="s">
        <v>48</v>
      </c>
      <c r="C6" s="8" t="s">
        <v>49</v>
      </c>
      <c r="D6" s="8">
        <v>7227</v>
      </c>
      <c r="E6" s="8" t="s">
        <v>50</v>
      </c>
      <c r="F6" s="8" t="s">
        <v>63</v>
      </c>
      <c r="G6" s="8" t="s">
        <v>65</v>
      </c>
      <c r="H6" s="8" t="s">
        <v>65</v>
      </c>
      <c r="I6" s="8">
        <v>25</v>
      </c>
      <c r="J6" s="8">
        <v>1</v>
      </c>
      <c r="K6" s="8">
        <v>0</v>
      </c>
      <c r="L6" s="9" t="s">
        <v>53</v>
      </c>
      <c r="M6" s="10">
        <v>209356.75589999999</v>
      </c>
      <c r="N6" s="10">
        <v>0</v>
      </c>
      <c r="O6" s="10">
        <v>62807</v>
      </c>
      <c r="P6" s="10">
        <f t="shared" si="0"/>
        <v>272163.75589999999</v>
      </c>
      <c r="Q6" s="11">
        <v>44993</v>
      </c>
      <c r="R6" s="12">
        <f t="shared" si="1"/>
        <v>45235</v>
      </c>
      <c r="S6" s="12" t="s">
        <v>54</v>
      </c>
      <c r="T6" s="8" t="s">
        <v>55</v>
      </c>
      <c r="U6" s="13">
        <f t="shared" si="2"/>
        <v>10467.837794999999</v>
      </c>
      <c r="V6" s="13"/>
      <c r="W6" s="13"/>
      <c r="X6" s="13"/>
      <c r="Y6" s="13"/>
      <c r="Z6" s="13"/>
      <c r="AA6" s="14"/>
      <c r="AB6" s="13"/>
      <c r="AC6" s="18"/>
      <c r="AD6" s="13"/>
      <c r="AE6" s="13">
        <f t="shared" si="6"/>
        <v>52339.188974999997</v>
      </c>
      <c r="AF6" s="13"/>
      <c r="AG6" s="13"/>
      <c r="AH6" s="13"/>
      <c r="AI6" s="14"/>
      <c r="AJ6" s="13"/>
      <c r="AK6" s="13"/>
      <c r="AL6" s="13">
        <f t="shared" si="8"/>
        <v>20935.675589999999</v>
      </c>
      <c r="AM6" s="8" t="s">
        <v>57</v>
      </c>
      <c r="AN6" s="15"/>
      <c r="AO6" s="15" t="s">
        <v>58</v>
      </c>
      <c r="AP6" s="15"/>
      <c r="AQ6" s="8"/>
      <c r="AR6" s="8"/>
      <c r="AS6" s="8"/>
      <c r="AT6" s="8"/>
      <c r="AU6" s="8"/>
      <c r="AV6" s="16">
        <f t="shared" si="9"/>
        <v>1</v>
      </c>
    </row>
    <row r="7" spans="1:48" s="17" customFormat="1" ht="15" customHeight="1" x14ac:dyDescent="0.3">
      <c r="A7" s="8">
        <v>6</v>
      </c>
      <c r="B7" s="8" t="s">
        <v>48</v>
      </c>
      <c r="C7" s="8" t="s">
        <v>49</v>
      </c>
      <c r="D7" s="8">
        <v>7299</v>
      </c>
      <c r="E7" s="8" t="s">
        <v>50</v>
      </c>
      <c r="F7" s="8" t="s">
        <v>66</v>
      </c>
      <c r="G7" s="8" t="s">
        <v>67</v>
      </c>
      <c r="H7" s="8" t="s">
        <v>67</v>
      </c>
      <c r="I7" s="8">
        <v>100</v>
      </c>
      <c r="J7" s="8">
        <v>1</v>
      </c>
      <c r="K7" s="8">
        <v>0</v>
      </c>
      <c r="L7" s="19" t="s">
        <v>68</v>
      </c>
      <c r="M7" s="19"/>
      <c r="N7" s="19"/>
      <c r="O7" s="19"/>
      <c r="P7" s="9">
        <f t="shared" si="0"/>
        <v>0</v>
      </c>
      <c r="Q7" s="11"/>
      <c r="R7" s="12"/>
      <c r="S7" s="9"/>
      <c r="T7" s="8"/>
      <c r="U7" s="13">
        <f t="shared" si="2"/>
        <v>0</v>
      </c>
      <c r="V7" s="13"/>
      <c r="W7" s="13"/>
      <c r="X7" s="13"/>
      <c r="Y7" s="13"/>
      <c r="Z7" s="13">
        <f t="shared" si="4"/>
        <v>0</v>
      </c>
      <c r="AA7" s="14"/>
      <c r="AB7" s="13"/>
      <c r="AC7" s="18"/>
      <c r="AD7" s="13"/>
      <c r="AE7" s="13">
        <f t="shared" si="6"/>
        <v>0</v>
      </c>
      <c r="AF7" s="13"/>
      <c r="AG7" s="13"/>
      <c r="AH7" s="13"/>
      <c r="AI7" s="14"/>
      <c r="AJ7" s="13"/>
      <c r="AK7" s="13"/>
      <c r="AL7" s="13">
        <f t="shared" si="8"/>
        <v>0</v>
      </c>
      <c r="AM7" s="8"/>
      <c r="AN7" s="15"/>
      <c r="AO7" s="15" t="s">
        <v>58</v>
      </c>
      <c r="AP7" s="15"/>
      <c r="AQ7" s="8"/>
      <c r="AR7" s="8"/>
      <c r="AS7" s="8"/>
      <c r="AT7" s="8"/>
      <c r="AU7" s="8"/>
      <c r="AV7" s="16">
        <f t="shared" si="9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609F-5979-45B8-AF5D-08480538626F}">
  <dimension ref="A1:E1"/>
  <sheetViews>
    <sheetView workbookViewId="0">
      <selection sqref="A1:E1"/>
    </sheetView>
  </sheetViews>
  <sheetFormatPr defaultRowHeight="14.4" x14ac:dyDescent="0.3"/>
  <sheetData>
    <row r="1" spans="1:5" ht="55.2" x14ac:dyDescent="0.3">
      <c r="A1" s="1" t="s">
        <v>4</v>
      </c>
      <c r="B1" s="1" t="s">
        <v>5</v>
      </c>
      <c r="C1" s="1" t="s">
        <v>6</v>
      </c>
      <c r="D1" s="1" t="s">
        <v>7</v>
      </c>
      <c r="E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C504-82E3-4902-B572-C7798BCF77CB}">
  <dimension ref="A1:E7"/>
  <sheetViews>
    <sheetView tabSelected="1" workbookViewId="0">
      <selection activeCell="D13" sqref="D13"/>
    </sheetView>
  </sheetViews>
  <sheetFormatPr defaultRowHeight="14.4" x14ac:dyDescent="0.3"/>
  <cols>
    <col min="1" max="1" width="23.109375" bestFit="1" customWidth="1"/>
    <col min="2" max="2" width="23.109375" customWidth="1"/>
    <col min="3" max="3" width="28.5546875" bestFit="1" customWidth="1"/>
    <col min="4" max="4" width="26.6640625" bestFit="1" customWidth="1"/>
    <col min="5" max="5" width="11" bestFit="1" customWidth="1"/>
  </cols>
  <sheetData>
    <row r="1" spans="1:5" x14ac:dyDescent="0.3">
      <c r="A1" t="s">
        <v>69</v>
      </c>
      <c r="B1" t="s">
        <v>82</v>
      </c>
      <c r="C1" t="s">
        <v>70</v>
      </c>
      <c r="D1" t="s">
        <v>71</v>
      </c>
      <c r="E1" t="s">
        <v>72</v>
      </c>
    </row>
    <row r="2" spans="1:5" x14ac:dyDescent="0.3">
      <c r="A2" t="s">
        <v>73</v>
      </c>
      <c r="B2" t="s">
        <v>83</v>
      </c>
      <c r="C2" t="s">
        <v>74</v>
      </c>
      <c r="D2" s="20" t="s">
        <v>75</v>
      </c>
      <c r="E2">
        <v>9834955236</v>
      </c>
    </row>
    <row r="3" spans="1:5" x14ac:dyDescent="0.3">
      <c r="A3" t="s">
        <v>76</v>
      </c>
      <c r="B3" t="s">
        <v>83</v>
      </c>
      <c r="C3" t="s">
        <v>74</v>
      </c>
      <c r="D3" s="20" t="s">
        <v>75</v>
      </c>
      <c r="E3">
        <v>9834955237</v>
      </c>
    </row>
    <row r="4" spans="1:5" x14ac:dyDescent="0.3">
      <c r="A4" t="s">
        <v>77</v>
      </c>
      <c r="B4" t="s">
        <v>84</v>
      </c>
      <c r="C4" t="s">
        <v>78</v>
      </c>
      <c r="D4" s="20" t="s">
        <v>79</v>
      </c>
      <c r="E4">
        <v>8995623147</v>
      </c>
    </row>
    <row r="5" spans="1:5" x14ac:dyDescent="0.3">
      <c r="A5" t="s">
        <v>80</v>
      </c>
      <c r="B5" t="s">
        <v>84</v>
      </c>
      <c r="C5" t="s">
        <v>78</v>
      </c>
      <c r="D5" s="20" t="s">
        <v>79</v>
      </c>
      <c r="E5">
        <v>8995623148</v>
      </c>
    </row>
    <row r="6" spans="1:5" x14ac:dyDescent="0.3">
      <c r="A6" t="s">
        <v>81</v>
      </c>
      <c r="B6" t="s">
        <v>85</v>
      </c>
      <c r="C6" t="s">
        <v>74</v>
      </c>
      <c r="D6" t="s">
        <v>86</v>
      </c>
      <c r="E6">
        <v>9834955236</v>
      </c>
    </row>
    <row r="7" spans="1:5" x14ac:dyDescent="0.3">
      <c r="A7" t="s">
        <v>87</v>
      </c>
      <c r="B7" t="s">
        <v>88</v>
      </c>
      <c r="C7" t="s">
        <v>74</v>
      </c>
      <c r="D7" t="s">
        <v>86</v>
      </c>
      <c r="E7">
        <v>9834955237</v>
      </c>
    </row>
  </sheetData>
  <hyperlinks>
    <hyperlink ref="D2" r:id="rId1" xr:uid="{CECC51C8-588D-4607-8D7D-D47ABFD3F7D2}"/>
    <hyperlink ref="D3" r:id="rId2" xr:uid="{E1D7CCB4-FD1E-4925-995B-A6DC2B277767}"/>
    <hyperlink ref="D4" r:id="rId3" xr:uid="{F28B195A-B8F0-47F7-AE70-0AF72438B044}"/>
    <hyperlink ref="D5" r:id="rId4" xr:uid="{A882B749-DC18-4847-9830-84E9CCF734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Salunke</dc:creator>
  <cp:lastModifiedBy>Rishikesh Salunke</cp:lastModifiedBy>
  <dcterms:created xsi:type="dcterms:W3CDTF">2025-10-29T10:02:06Z</dcterms:created>
  <dcterms:modified xsi:type="dcterms:W3CDTF">2025-10-29T11:19:23Z</dcterms:modified>
</cp:coreProperties>
</file>